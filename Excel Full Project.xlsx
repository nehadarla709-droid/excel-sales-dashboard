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c09eeed75dc0c689/Desktop/"/>
    </mc:Choice>
  </mc:AlternateContent>
  <xr:revisionPtr revIDLastSave="0" documentId="8_{19E9732A-CE38-4650-B9BD-48F848F582C0}"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2" l="1"/>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6" i="2"/>
  <c r="M7" i="2"/>
  <c r="M8" i="2"/>
  <c r="M9" i="2"/>
  <c r="M10" i="2"/>
  <c r="M11" i="2"/>
  <c r="M12" i="2"/>
  <c r="M13" i="2"/>
  <c r="M14" i="2"/>
  <c r="M15" i="2"/>
  <c r="M16" i="2"/>
  <c r="M17" i="2"/>
  <c r="M18" i="2"/>
  <c r="M19"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<sst xmlns="http://schemas.openxmlformats.org/spreadsheetml/2006/main" count="16274" uniqueCount="51">
  <si>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</si>
  <si>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</si>
  <si>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</si>
  <si>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</si>
  <si>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</si>
  <si>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</si>
  <si>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</si>
  <si>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</si>
  <si>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</si>
  <si>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</si>
  <si>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</si>
  <si>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</si>
  <si>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</si>
  <si>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</si>
  <si>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</si>
  <si>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</si>
  <si>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</si>
  <si>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</si>
  <si>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</si>
  <si>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</si>
  <si>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</si>
  <si>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</si>
  <si>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</si>
  <si>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</si>
  <si>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</si>
  <si>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</si>
  <si>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</si>
  <si>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</si>
  <si>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</si>
  <si>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</si>
  <si>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</si>
  <si>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</si>
  <si>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</si>
  <si>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</si>
  <si>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</si>
  <si>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</si>
  <si>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</si>
  <si>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</si>
  <si>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</si>
  <si>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</si>
  <si>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</si>
  <si>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</si>
  <si>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Row Labels</t>
  </si>
  <si>
    <t>Grand Total</t>
  </si>
  <si>
    <t>Column Labels</t>
  </si>
  <si>
    <t>Count of Purchased Bike</t>
  </si>
  <si>
    <t>More Than 10 Miles</t>
  </si>
  <si>
    <t>ADOLESENT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</si>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</sst>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0" fontId="0" fillId="33" borderId="0" xfId="0" applyFill="1"/>
    <xf numFmtId="0" fontId="0" fillId="33" borderId="0" xfId="0" applyFill="1" applyAlignment="1">
      <alignment horizontal="center"/>
    </xf>
    <xf numFmtId="0" fontId="19" fillId="33"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Project.xlsx]Pivot Table!PivotTable1</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442A-46D6-BDC9-0D4306193F57}"/>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442A-46D6-BDC9-0D4306193F57}"/>
            </c:ext>
          </c:extLst>
        </c:ser>
        <c:dLbls>
          <c:dLblPos val="outEnd"/>
          <c:showLegendKey val="0"/>
          <c:showVal val="1"/>
          <c:showCatName val="0"/>
          <c:showSerName val="0"/>
          <c:showPercent val="0"/>
          <c:showBubbleSize val="0"/>
        </c:dLbls>
        <c:gapWidth val="219"/>
        <c:overlap val="-27"/>
        <c:axId val="1058331264"/>
        <c:axId val="1055476112"/>
      </c:barChart>
      <c:catAx>
        <c:axId val="1058331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476112"/>
        <c:crosses val="autoZero"/>
        <c:auto val="1"/>
        <c:lblAlgn val="ctr"/>
        <c:lblOffset val="100"/>
        <c:noMultiLvlLbl val="0"/>
      </c:catAx>
      <c:valAx>
        <c:axId val="1055476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OF 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31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28575" cap="rnd">
              <a:solidFill>
                <a:schemeClr val="accent1"/>
              </a:solidFill>
              <a:round/>
            </a:ln>
            <a:effectLst/>
          </c:spPr>
          <c:marker>
            <c:symbol val="none"/>
          </c:marker>
          <c:cat>
            <c:strRef>
              <c:f>'Pivot Table'!$B$20:$B$25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A88-4538-9926-C7AD0673267B}"/>
            </c:ext>
          </c:extLst>
        </c:ser>
        <c:ser>
          <c:idx val="1"/>
          <c:order val="1"/>
          <c:tx>
            <c:strRef>
              <c:f>'Pivot Table'!$D$18:$D$19</c:f>
              <c:strCache>
                <c:ptCount val="1"/>
                <c:pt idx="0">
                  <c:v>Yes</c:v>
                </c:pt>
              </c:strCache>
            </c:strRef>
          </c:tx>
          <c:spPr>
            <a:ln w="28575" cap="rnd">
              <a:solidFill>
                <a:schemeClr val="accent2"/>
              </a:solidFill>
              <a:round/>
            </a:ln>
            <a:effectLst/>
          </c:spPr>
          <c:marker>
            <c:symbol val="none"/>
          </c:marker>
          <c:cat>
            <c:strRef>
              <c:f>'Pivot Table'!$B$20:$B$25</c:f>
              <c:strCache>
                <c:ptCount val="5"/>
                <c:pt idx="0">
                  <c:v>0-1 Miles</c:v>
                </c:pt>
                <c:pt idx="1">
                  <c:v>1-2 Miles</c:v>
                </c:pt>
                <c:pt idx="2">
                  <c:v>2-5 Miles</c:v>
                </c:pt>
                <c:pt idx="3">
                  <c:v>5-10 Miles</c:v>
                </c:pt>
                <c:pt idx="4">
                  <c:v>More Than 10 Miles</c:v>
                </c:pt>
              </c:strCache>
            </c:strRef>
          </c:cat>
          <c:val>
            <c:numRef>
              <c:f>'Pivot Table'!$D$20:$D$25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A88-4538-9926-C7AD0673267B}"/>
            </c:ext>
          </c:extLst>
        </c:ser>
        <c:dLbls>
          <c:showLegendKey val="0"/>
          <c:showVal val="0"/>
          <c:showCatName val="0"/>
          <c:showSerName val="0"/>
          <c:showPercent val="0"/>
          <c:showBubbleSize val="0"/>
        </c:dLbls>
        <c:smooth val="0"/>
        <c:axId val="1342425455"/>
        <c:axId val="1342425935"/>
      </c:lineChart>
      <c:catAx>
        <c:axId val="13424254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425935"/>
        <c:crosses val="autoZero"/>
        <c:auto val="1"/>
        <c:lblAlgn val="ctr"/>
        <c:lblOffset val="100"/>
        <c:noMultiLvlLbl val="0"/>
      </c:catAx>
      <c:valAx>
        <c:axId val="134242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42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Table'!$C$30:$C$31</c:f>
              <c:strCache>
                <c:ptCount val="1"/>
                <c:pt idx="0">
                  <c:v>No</c:v>
                </c:pt>
              </c:strCache>
            </c:strRef>
          </c:tx>
          <c:spPr>
            <a:ln w="28575" cap="rnd">
              <a:solidFill>
                <a:schemeClr val="accent1"/>
              </a:solidFill>
              <a:round/>
            </a:ln>
            <a:effectLst/>
          </c:spPr>
          <c:marker>
            <c:symbol val="none"/>
          </c:marker>
          <c:cat>
            <c:strRef>
              <c:f>'Pivot Table'!$B$32:$B$35</c:f>
              <c:strCache>
                <c:ptCount val="3"/>
                <c:pt idx="0">
                  <c:v>ADOLESENT</c:v>
                </c:pt>
                <c:pt idx="1">
                  <c:v>MIDDLE AGE</c:v>
                </c:pt>
                <c:pt idx="2">
                  <c:v>OLD</c:v>
                </c:pt>
              </c:strCache>
            </c:strRef>
          </c:cat>
          <c:val>
            <c:numRef>
              <c:f>'Pivot Table'!$C$32:$C$35</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9A5E-4C35-9AE0-50E255279DF0}"/>
            </c:ext>
          </c:extLst>
        </c:ser>
        <c:ser>
          <c:idx val="1"/>
          <c:order val="1"/>
          <c:tx>
            <c:strRef>
              <c:f>'Pivot Table'!$D$30:$D$31</c:f>
              <c:strCache>
                <c:ptCount val="1"/>
                <c:pt idx="0">
                  <c:v>Yes</c:v>
                </c:pt>
              </c:strCache>
            </c:strRef>
          </c:tx>
          <c:spPr>
            <a:ln w="28575" cap="rnd">
              <a:solidFill>
                <a:schemeClr val="accent2"/>
              </a:solidFill>
              <a:round/>
            </a:ln>
            <a:effectLst/>
          </c:spPr>
          <c:marker>
            <c:symbol val="none"/>
          </c:marker>
          <c:cat>
            <c:strRef>
              <c:f>'Pivot Table'!$B$32:$B$35</c:f>
              <c:strCache>
                <c:ptCount val="3"/>
                <c:pt idx="0">
                  <c:v>ADOLESENT</c:v>
                </c:pt>
                <c:pt idx="1">
                  <c:v>MIDDLE AGE</c:v>
                </c:pt>
                <c:pt idx="2">
                  <c:v>OLD</c:v>
                </c:pt>
              </c:strCache>
            </c:strRef>
          </c:cat>
          <c:val>
            <c:numRef>
              <c:f>'Pivot Table'!$D$32:$D$35</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9A5E-4C35-9AE0-50E255279DF0}"/>
            </c:ext>
          </c:extLst>
        </c:ser>
        <c:dLbls>
          <c:showLegendKey val="0"/>
          <c:showVal val="0"/>
          <c:showCatName val="0"/>
          <c:showSerName val="0"/>
          <c:showPercent val="0"/>
          <c:showBubbleSize val="0"/>
        </c:dLbls>
        <c:smooth val="0"/>
        <c:axId val="1331923807"/>
        <c:axId val="1331924767"/>
      </c:lineChart>
      <c:catAx>
        <c:axId val="13319238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924767"/>
        <c:crosses val="autoZero"/>
        <c:auto val="1"/>
        <c:lblAlgn val="ctr"/>
        <c:lblOffset val="100"/>
        <c:noMultiLvlLbl val="0"/>
      </c:catAx>
      <c:valAx>
        <c:axId val="133192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92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Project.xlsx]Pivot Table!PivotTable1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Table'!$B$3:$B$5</c:f>
              <c:numCache>
                <c:formatCode>0</c:formatCode>
                <c:ptCount val="2"/>
                <c:pt idx="0">
                  <c:v>53440</c:v>
                </c:pt>
                <c:pt idx="1">
                  <c:v>56208.178438661707</c:v>
                </c:pt>
              </c:numCache>
            </c:numRef>
          </c:val>
          <c:extLst>
            <c:ext xmlns:c16="http://schemas.microsoft.com/office/drawing/2014/chart" uri="{C3380CC4-5D6E-409C-BE32-E72D297353CC}">
              <c16:uniqueId val="{00000000-0915-4C3D-9692-7087494D0173}"/>
            </c:ext>
          </c:extLst>
        </c:ser>
        <c:ser>
          <c:idx val="1"/>
          <c:order val="1"/>
          <c:tx>
            <c:strRef>
              <c:f>'Pivot Table'!$C$1:$C$2</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Table'!$A$3:$A$5</c:f>
              <c:strCache>
                <c:ptCount val="2"/>
                <c:pt idx="0">
                  <c:v>Female</c:v>
                </c:pt>
                <c:pt idx="1">
                  <c:v>Male</c:v>
                </c:pt>
              </c:strCache>
            </c:strRef>
          </c:cat>
          <c:val>
            <c:numRef>
              <c:f>'Pivot Table'!$C$3:$C$5</c:f>
              <c:numCache>
                <c:formatCode>0</c:formatCode>
                <c:ptCount val="2"/>
                <c:pt idx="0">
                  <c:v>55774.058577405856</c:v>
                </c:pt>
                <c:pt idx="1">
                  <c:v>60123.966942148763</c:v>
                </c:pt>
              </c:numCache>
            </c:numRef>
          </c:val>
          <c:extLst>
            <c:ext xmlns:c16="http://schemas.microsoft.com/office/drawing/2014/chart" uri="{C3380CC4-5D6E-409C-BE32-E72D297353CC}">
              <c16:uniqueId val="{00000001-0915-4C3D-9692-7087494D0173}"/>
            </c:ext>
          </c:extLst>
        </c:ser>
        <c:dLbls>
          <c:dLblPos val="outEnd"/>
          <c:showLegendKey val="0"/>
          <c:showVal val="1"/>
          <c:showCatName val="0"/>
          <c:showSerName val="0"/>
          <c:showPercent val="0"/>
          <c:showBubbleSize val="0"/>
        </c:dLbls>
        <c:gapWidth val="219"/>
        <c:overlap val="-27"/>
        <c:axId val="1058331264"/>
        <c:axId val="1055476112"/>
      </c:barChart>
      <c:catAx>
        <c:axId val="1058331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476112"/>
        <c:crosses val="autoZero"/>
        <c:auto val="1"/>
        <c:lblAlgn val="ctr"/>
        <c:lblOffset val="100"/>
        <c:noMultiLvlLbl val="0"/>
      </c:catAx>
      <c:valAx>
        <c:axId val="10554761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OF INCOME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3312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Project.xlsx]Pivot Table!PivotTable3</c:name>
    <c:fmtId val="4"/>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Table'!$C$30:$C$31</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Table'!$B$32:$B$35</c:f>
              <c:strCache>
                <c:ptCount val="3"/>
                <c:pt idx="0">
                  <c:v>ADOLESENT</c:v>
                </c:pt>
                <c:pt idx="1">
                  <c:v>MIDDLE AGE</c:v>
                </c:pt>
                <c:pt idx="2">
                  <c:v>OLD</c:v>
                </c:pt>
              </c:strCache>
            </c:strRef>
          </c:cat>
          <c:val>
            <c:numRef>
              <c:f>'Pivot Table'!$C$32:$C$35</c:f>
              <c:numCache>
                <c:formatCode>General</c:formatCode>
                <c:ptCount val="3"/>
                <c:pt idx="0">
                  <c:v>71</c:v>
                </c:pt>
                <c:pt idx="1">
                  <c:v>282</c:v>
                </c:pt>
                <c:pt idx="2">
                  <c:v>166</c:v>
                </c:pt>
              </c:numCache>
            </c:numRef>
          </c:val>
          <c:smooth val="0"/>
          <c:extLst>
            <c:ext xmlns:c16="http://schemas.microsoft.com/office/drawing/2014/chart" uri="{C3380CC4-5D6E-409C-BE32-E72D297353CC}">
              <c16:uniqueId val="{00000000-C183-44B7-87B8-A17ED2B53D83}"/>
            </c:ext>
          </c:extLst>
        </c:ser>
        <c:ser>
          <c:idx val="1"/>
          <c:order val="1"/>
          <c:tx>
            <c:strRef>
              <c:f>'Pivot Table'!$D$30:$D$31</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Table'!$B$32:$B$35</c:f>
              <c:strCache>
                <c:ptCount val="3"/>
                <c:pt idx="0">
                  <c:v>ADOLESENT</c:v>
                </c:pt>
                <c:pt idx="1">
                  <c:v>MIDDLE AGE</c:v>
                </c:pt>
                <c:pt idx="2">
                  <c:v>OLD</c:v>
                </c:pt>
              </c:strCache>
            </c:strRef>
          </c:cat>
          <c:val>
            <c:numRef>
              <c:f>'Pivot Table'!$D$32:$D$35</c:f>
              <c:numCache>
                <c:formatCode>General</c:formatCode>
                <c:ptCount val="3"/>
                <c:pt idx="0">
                  <c:v>39</c:v>
                </c:pt>
                <c:pt idx="1">
                  <c:v>332</c:v>
                </c:pt>
                <c:pt idx="2">
                  <c:v>110</c:v>
                </c:pt>
              </c:numCache>
            </c:numRef>
          </c:val>
          <c:smooth val="0"/>
          <c:extLst>
            <c:ext xmlns:c16="http://schemas.microsoft.com/office/drawing/2014/chart" uri="{C3380CC4-5D6E-409C-BE32-E72D297353CC}">
              <c16:uniqueId val="{00000001-C183-44B7-87B8-A17ED2B53D83}"/>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31923807"/>
        <c:axId val="1331924767"/>
      </c:lineChart>
      <c:catAx>
        <c:axId val="133192380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31924767"/>
        <c:crosses val="autoZero"/>
        <c:auto val="1"/>
        <c:lblAlgn val="ctr"/>
        <c:lblOffset val="100"/>
        <c:noMultiLvlLbl val="0"/>
      </c:catAx>
      <c:valAx>
        <c:axId val="13319247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31923807"/>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Full Project.xlsx]Pivot Table!PivotTable2</c:name>
    <c:fmtId val="2"/>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Table'!$C$18:$C$19</c:f>
              <c:strCache>
                <c:ptCount val="1"/>
                <c:pt idx="0">
                  <c:v>No</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'Pivot Table'!$B$20:$B$25</c:f>
              <c:strCache>
                <c:ptCount val="5"/>
                <c:pt idx="0">
                  <c:v>0-1 Miles</c:v>
                </c:pt>
                <c:pt idx="1">
                  <c:v>1-2 Miles</c:v>
                </c:pt>
                <c:pt idx="2">
                  <c:v>2-5 Miles</c:v>
                </c:pt>
                <c:pt idx="3">
                  <c:v>5-10 Miles</c:v>
                </c:pt>
                <c:pt idx="4">
                  <c:v>More Than 10 Miles</c:v>
                </c:pt>
              </c:strCache>
            </c:strRef>
          </c:cat>
          <c:val>
            <c:numRef>
              <c:f>'Pivot Table'!$C$20:$C$25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04E-4989-8DC8-8D0EE3BF7F0C}"/>
            </c:ext>
          </c:extLst>
        </c:ser>
        <c:ser>
          <c:idx val="1"/>
          <c:order val="1"/>
          <c:tx>
            <c:strRef>
              <c:f>'Pivot Table'!$D$18:$D$19</c:f>
              <c:strCache>
                <c:ptCount val="1"/>
                <c:pt idx="0">
                  <c:v>Yes</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cat>
            <c:strRef>
              <c:f>'Pivot Table'!$B$20:$B$25</c:f>
              <c:strCache>
                <c:ptCount val="5"/>
                <c:pt idx="0">
                  <c:v>0-1 Miles</c:v>
                </c:pt>
                <c:pt idx="1">
                  <c:v>1-2 Miles</c:v>
                </c:pt>
                <c:pt idx="2">
                  <c:v>2-5 Miles</c:v>
                </c:pt>
                <c:pt idx="3">
                  <c:v>5-10 Miles</c:v>
                </c:pt>
                <c:pt idx="4">
                  <c:v>More Than 10 Miles</c:v>
                </c:pt>
              </c:strCache>
            </c:strRef>
          </c:cat>
          <c:val>
            <c:numRef>
              <c:f>'Pivot Table'!$D$20:$D$25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04E-4989-8DC8-8D0EE3BF7F0C}"/>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42425455"/>
        <c:axId val="1342425935"/>
      </c:lineChart>
      <c:catAx>
        <c:axId val="1342425455"/>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42425935"/>
        <c:crosses val="autoZero"/>
        <c:auto val="1"/>
        <c:lblAlgn val="ctr"/>
        <c:lblOffset val="100"/>
        <c:noMultiLvlLbl val="0"/>
      </c:catAx>
      <c:valAx>
        <c:axId val="1342425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42425455"/>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160020</xdr:colOff>
      <xdr:row>1</xdr:row>
      <xdr:rowOff>0</xdr:rowOff>
    </xdr:from>
    <xdr:to>
      <xdr:col>11</xdr:col>
      <xdr:colOff>434340</xdr:colOff>
      <xdr:row>14</xdr:row>
      <xdr:rowOff>76200</xdr:rowOff>
    </xdr:to>
    <xdr:graphicFrame macro="">
      <xdr:nvGraphicFramePr>
        <xdr:cNvPr id="10" name="Chart 9">
          <a:extLst>
            <a:ext uri="{FF2B5EF4-FFF2-40B4-BE49-F238E27FC236}">
              <a16:creationId xmlns:a16="http://schemas.microsoft.com/office/drawing/2014/main" id="{8D8E2F0E-4A89-819B-9478-FA5C08AFE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335280</xdr:colOff>
      <xdr:row>15</xdr:row>
      <xdr:rowOff>160020</xdr:rowOff>
    </xdr:from>
    <xdr:to>
      <xdr:col>12</xdr:col>
      <xdr:colOff>83820</xdr:colOff>
      <xdr:row>27</xdr:row>
      <xdr:rowOff>160020</xdr:rowOff>
    </xdr:to>
    <xdr:graphicFrame macro="">
      <xdr:nvGraphicFramePr>
        <xdr:cNvPr id="2" name="Chart 1">
          <a:extLst>
            <a:ext uri="{FF2B5EF4-FFF2-40B4-BE49-F238E27FC236}">
              <a16:creationId xmlns:a16="http://schemas.microsoft.com/office/drawing/2014/main" id="{FBBB36BE-AA59-6729-2186-AB363BE4B9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121920</xdr:colOff>
      <xdr:row>28</xdr:row>
      <xdr:rowOff>152400</xdr:rowOff>
    </xdr:from>
    <xdr:to>
      <xdr:col>12</xdr:col>
      <xdr:colOff>106680</xdr:colOff>
      <xdr:row>41</xdr:row>
      <xdr:rowOff>114300</xdr:rowOff>
    </xdr:to>
    <xdr:graphicFrame macro="">
      <xdr:nvGraphicFramePr>
        <xdr:cNvPr id="3" name="Chart 2">
          <a:extLst>
            <a:ext uri="{FF2B5EF4-FFF2-40B4-BE49-F238E27FC236}">
              <a16:creationId xmlns:a16="http://schemas.microsoft.com/office/drawing/2014/main" id="{FE40403D-C191-4953-8405-68440AF18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15240</xdr:rowOff>
    </xdr:from>
    <xdr:to>
      <xdr:col>8</xdr:col>
      <xdr:colOff>15240</xdr:colOff>
      <xdr:row>15</xdr:row>
      <xdr:rowOff>160020</xdr:rowOff>
    </xdr:to>
    <xdr:graphicFrame macro="">
      <xdr:nvGraphicFramePr>
        <xdr:cNvPr id="2" name="Chart 1">
          <a:extLst>
            <a:ext uri="{FF2B5EF4-FFF2-40B4-BE49-F238E27FC236}">
              <a16:creationId xmlns:a16="http://schemas.microsoft.com/office/drawing/2014/main" id="{6E59A3A6-20D4-49B2-A1B6-426787EB2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2</xdr:row>
      <xdr:rowOff>0</xdr:rowOff>
    </xdr:from>
    <xdr:to>
      <xdr:col>14</xdr:col>
      <xdr:colOff>594360</xdr:colOff>
      <xdr:row>15</xdr:row>
      <xdr:rowOff>144780</xdr:rowOff>
    </xdr:to>
    <xdr:graphicFrame macro="">
      <xdr:nvGraphicFramePr>
        <xdr:cNvPr id="3" name="Chart 2">
          <a:extLst>
            <a:ext uri="{FF2B5EF4-FFF2-40B4-BE49-F238E27FC236}">
              <a16:creationId xmlns:a16="http://schemas.microsoft.com/office/drawing/2014/main" id="{19E22383-FBFD-4D1C-9390-AB54D165F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15240</xdr:colOff>
      <xdr:row>15</xdr:row>
      <xdr:rowOff>167640</xdr:rowOff>
    </xdr:from>
    <xdr:to>
      <xdr:col>14</xdr:col>
      <xdr:colOff>571500</xdr:colOff>
      <xdr:row>29</xdr:row>
      <xdr:rowOff>0</xdr:rowOff>
    </xdr:to>
    <xdr:graphicFrame macro="">
      <xdr:nvGraphicFramePr>
        <xdr:cNvPr id="4" name="Chart 3">
          <a:extLst>
            <a:ext uri="{FF2B5EF4-FFF2-40B4-BE49-F238E27FC236}">
              <a16:creationId xmlns:a16="http://schemas.microsoft.com/office/drawing/2014/main" id="{7A56C98A-B6F6-4900-8E5E-0D0A3C755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290763</xdr:colOff>
      <xdr:row>1</xdr:row>
      <xdr:rowOff>370973</xdr:rowOff>
    </xdr:from>
    <xdr:to>
      <xdr:col>19</xdr:col>
      <xdr:colOff>160421</xdr:colOff>
      <xdr:row>7</xdr:row>
      <xdr:rowOff>20052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E8FE69AF-81CB-C1D2-9995-2DE792A7354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459884" y="555193"/>
              <a:ext cx="2314757" cy="9637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290763</xdr:colOff>
      <xdr:row>16</xdr:row>
      <xdr:rowOff>10025</xdr:rowOff>
    </xdr:from>
    <xdr:to>
      <xdr:col>19</xdr:col>
      <xdr:colOff>180474</xdr:colOff>
      <xdr:row>25</xdr:row>
      <xdr:rowOff>60158</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0C2482EF-048A-0352-E9A7-3B0EF6E27FC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459884" y="3166882"/>
              <a:ext cx="2334810" cy="17081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290763</xdr:colOff>
      <xdr:row>8</xdr:row>
      <xdr:rowOff>70186</xdr:rowOff>
    </xdr:from>
    <xdr:to>
      <xdr:col>19</xdr:col>
      <xdr:colOff>170447</xdr:colOff>
      <xdr:row>14</xdr:row>
      <xdr:rowOff>170446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16F23D37-9C01-5AB7-BE77-EC1D7C2E549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59884" y="1753285"/>
              <a:ext cx="2324783" cy="1205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182.779354166669" createdVersion="8" refreshedVersion="8" minRefreshableVersion="3" recordCount="1000" xr:uid="{522C0E48-FF0C-401A-82E8-959A3AD4928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ENT"/>
      </sharedItems>
    </cacheField>
    <cacheField name="Purchased Bike" numFmtId="0">
      <sharedItems count="2">
        <s v="No"/>
        <s v="Yes"/>
      </sharedItems>
    </cacheField>
  </cacheFields>
  <extLst>
    <ext xmlns:x14="http://schemas.microsoft.com/office/spreadsheetml/2009/9/main" uri="{725AE2AE-9491-48be-B2B4-4EB974FC3084}">
      <x14:pivotCacheDefinition pivotCacheId="518158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1"/>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1"/>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1"/>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1"/>
    <x v="1"/>
  </r>
  <r>
    <n v="16514"/>
    <x v="1"/>
    <x v="1"/>
    <n v="10000"/>
    <n v="0"/>
    <x v="1"/>
    <s v="Manual"/>
    <s v="Yes"/>
    <n v="1"/>
    <x v="3"/>
    <x v="1"/>
    <x v="22"/>
    <x v="2"/>
    <x v="1"/>
  </r>
  <r>
    <n v="17191"/>
    <x v="1"/>
    <x v="1"/>
    <n v="130000"/>
    <n v="3"/>
    <x v="1"/>
    <s v="Professional"/>
    <s v="No"/>
    <n v="3"/>
    <x v="0"/>
    <x v="0"/>
    <x v="36"/>
    <x v="1"/>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1"/>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1"/>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1"/>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1"/>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1"/>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1"/>
    <x v="1"/>
  </r>
  <r>
    <n v="18494"/>
    <x v="0"/>
    <x v="1"/>
    <n v="110000"/>
    <n v="5"/>
    <x v="0"/>
    <s v="Management"/>
    <s v="Yes"/>
    <n v="4"/>
    <x v="1"/>
    <x v="1"/>
    <x v="28"/>
    <x v="0"/>
    <x v="1"/>
  </r>
  <r>
    <n v="11249"/>
    <x v="0"/>
    <x v="0"/>
    <n v="130000"/>
    <n v="3"/>
    <x v="1"/>
    <s v="Professional"/>
    <s v="Yes"/>
    <n v="3"/>
    <x v="0"/>
    <x v="0"/>
    <x v="36"/>
    <x v="1"/>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1"/>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1"/>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1"/>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1"/>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1"/>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1"/>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1"/>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1"/>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1"/>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1"/>
    <x v="1"/>
  </r>
  <r>
    <n v="25792"/>
    <x v="1"/>
    <x v="0"/>
    <n v="110000"/>
    <n v="3"/>
    <x v="0"/>
    <s v="Management"/>
    <s v="Yes"/>
    <n v="4"/>
    <x v="4"/>
    <x v="0"/>
    <x v="39"/>
    <x v="1"/>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1"/>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1"/>
    <x v="1"/>
  </r>
  <r>
    <n v="18153"/>
    <x v="0"/>
    <x v="0"/>
    <n v="100000"/>
    <n v="2"/>
    <x v="0"/>
    <s v="Management"/>
    <s v="Yes"/>
    <n v="4"/>
    <x v="4"/>
    <x v="0"/>
    <x v="14"/>
    <x v="1"/>
    <x v="0"/>
  </r>
  <r>
    <n v="14547"/>
    <x v="0"/>
    <x v="1"/>
    <n v="10000"/>
    <n v="2"/>
    <x v="1"/>
    <s v="Manual"/>
    <s v="Yes"/>
    <n v="0"/>
    <x v="3"/>
    <x v="0"/>
    <x v="36"/>
    <x v="1"/>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1"/>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1"/>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1"/>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1"/>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1"/>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1"/>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1"/>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1"/>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1"/>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1"/>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1"/>
    <x v="1"/>
  </r>
  <r>
    <n v="12774"/>
    <x v="0"/>
    <x v="0"/>
    <n v="40000"/>
    <n v="1"/>
    <x v="1"/>
    <s v="Clerical"/>
    <s v="Yes"/>
    <n v="1"/>
    <x v="3"/>
    <x v="2"/>
    <x v="36"/>
    <x v="1"/>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1"/>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1"/>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1"/>
    <x v="0"/>
  </r>
  <r>
    <n v="12768"/>
    <x v="0"/>
    <x v="1"/>
    <n v="30000"/>
    <n v="1"/>
    <x v="2"/>
    <s v="Clerical"/>
    <s v="Yes"/>
    <n v="1"/>
    <x v="1"/>
    <x v="2"/>
    <x v="31"/>
    <x v="1"/>
    <x v="1"/>
  </r>
  <r>
    <n v="20361"/>
    <x v="0"/>
    <x v="1"/>
    <n v="50000"/>
    <n v="2"/>
    <x v="4"/>
    <s v="Management"/>
    <s v="Yes"/>
    <n v="2"/>
    <x v="2"/>
    <x v="2"/>
    <x v="45"/>
    <x v="1"/>
    <x v="0"/>
  </r>
  <r>
    <n v="21306"/>
    <x v="1"/>
    <x v="1"/>
    <n v="60000"/>
    <n v="2"/>
    <x v="2"/>
    <s v="Professional"/>
    <s v="Yes"/>
    <n v="2"/>
    <x v="2"/>
    <x v="2"/>
    <x v="36"/>
    <x v="1"/>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1"/>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1"/>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1"/>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1"/>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1"/>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1"/>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1"/>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1"/>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1"/>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1"/>
    <x v="0"/>
  </r>
  <r>
    <n v="14887"/>
    <x v="0"/>
    <x v="0"/>
    <n v="30000"/>
    <n v="1"/>
    <x v="2"/>
    <s v="Clerical"/>
    <s v="Yes"/>
    <n v="1"/>
    <x v="2"/>
    <x v="2"/>
    <x v="31"/>
    <x v="1"/>
    <x v="0"/>
  </r>
  <r>
    <n v="11734"/>
    <x v="0"/>
    <x v="1"/>
    <n v="60000"/>
    <n v="1"/>
    <x v="1"/>
    <s v="Skilled Manual"/>
    <s v="No"/>
    <n v="1"/>
    <x v="0"/>
    <x v="2"/>
    <x v="15"/>
    <x v="0"/>
    <x v="0"/>
  </r>
  <r>
    <n v="17462"/>
    <x v="0"/>
    <x v="1"/>
    <n v="70000"/>
    <n v="3"/>
    <x v="4"/>
    <s v="Management"/>
    <s v="Yes"/>
    <n v="2"/>
    <x v="2"/>
    <x v="2"/>
    <x v="39"/>
    <x v="1"/>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9D76F8-27FF-4E7B-B91C-A0450C81A339}"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5:E100"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58A9AC-BCF6-4EA7-AB7A-33D891672962}"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0:E3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14AAB8-9B7C-4D3D-89A2-70621A4C24B3}"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8:E25"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CB5268-C823-423B-AFDB-3A1569201BA1}"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9">
    <format dxfId="251">
      <pivotArea collapsedLevelsAreSubtotals="1" fieldPosition="0">
        <references count="2">
          <reference field="2" count="1">
            <x v="0"/>
          </reference>
          <reference field="13" count="1" selected="0">
            <x v="0"/>
          </reference>
        </references>
      </pivotArea>
    </format>
    <format dxfId="250">
      <pivotArea collapsedLevelsAreSubtotals="1" fieldPosition="0">
        <references count="2">
          <reference field="2" count="1">
            <x v="1"/>
          </reference>
          <reference field="13" count="1" selected="0">
            <x v="0"/>
          </reference>
        </references>
      </pivotArea>
    </format>
    <format dxfId="249">
      <pivotArea field="13" grandRow="1" outline="0" collapsedLevelsAreSubtotals="1" axis="axisCol" fieldPosition="0">
        <references count="1">
          <reference field="13" count="1" selected="0">
            <x v="0"/>
          </reference>
        </references>
      </pivotArea>
    </format>
    <format dxfId="248">
      <pivotArea collapsedLevelsAreSubtotals="1" fieldPosition="0">
        <references count="2">
          <reference field="2" count="1">
            <x v="1"/>
          </reference>
          <reference field="13" count="1" selected="0">
            <x v="1"/>
          </reference>
        </references>
      </pivotArea>
    </format>
    <format dxfId="247">
      <pivotArea collapsedLevelsAreSubtotals="1" fieldPosition="0">
        <references count="2">
          <reference field="2" count="1">
            <x v="0"/>
          </reference>
          <reference field="13" count="1" selected="0">
            <x v="1"/>
          </reference>
        </references>
      </pivotArea>
    </format>
    <format dxfId="246">
      <pivotArea field="2" grandCol="1" collapsedLevelsAreSubtotals="1" axis="axisRow" fieldPosition="0">
        <references count="1">
          <reference field="2" count="1">
            <x v="0"/>
          </reference>
        </references>
      </pivotArea>
    </format>
    <format dxfId="245">
      <pivotArea field="2" grandCol="1" collapsedLevelsAreSubtotals="1" axis="axisRow" fieldPosition="0">
        <references count="1">
          <reference field="2" count="1">
            <x v="1"/>
          </reference>
        </references>
      </pivotArea>
    </format>
    <format dxfId="244">
      <pivotArea grandRow="1" grandCol="1" outline="0" collapsedLevelsAreSubtotals="1" fieldPosition="0"/>
    </format>
    <format dxfId="243">
      <pivotArea field="13" grandRow="1" outline="0" collapsedLevelsAreSubtotals="1" axis="axisCol" fieldPosition="0">
        <references count="1">
          <reference field="13" count="1" selected="0">
            <x v="1"/>
          </reference>
        </references>
      </pivotArea>
    </format>
  </formats>
  <chartFormats count="4">
    <chartFormat chart="13" format="0" series="1">
      <pivotArea type="data" outline="0" fieldPosition="0">
        <references count="2">
          <reference field="4294967294" count="1" selected="0">
            <x v="0"/>
          </reference>
          <reference field="13" count="1" selected="0">
            <x v="0"/>
          </reference>
        </references>
      </pivotArea>
    </chartFormat>
    <chartFormat chart="13" format="1"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A745A5A-6712-4D99-B76C-1D828740F1A7}" sourceName="Marital Status">
  <pivotTables>
    <pivotTable tabId="3" name="PivotTable1"/>
    <pivotTable tabId="3" name="PivotTable2"/>
    <pivotTable tabId="3" name="PivotTable3"/>
    <pivotTable tabId="3" name="PivotTable4"/>
  </pivotTables>
  <data>
    <tabular pivotCacheId="5181584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0BC0438-4DF3-4F36-9209-37A3868CDA32}" sourceName="Education">
  <pivotTables>
    <pivotTable tabId="3" name="PivotTable1"/>
    <pivotTable tabId="3" name="PivotTable2"/>
    <pivotTable tabId="3" name="PivotTable3"/>
    <pivotTable tabId="3" name="PivotTable4"/>
  </pivotTables>
  <data>
    <tabular pivotCacheId="51815847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9DC42F-E9E8-4099-8014-3B74BE0CC926}" sourceName="Region">
  <pivotTables>
    <pivotTable tabId="3" name="PivotTable1"/>
    <pivotTable tabId="3" name="PivotTable2"/>
    <pivotTable tabId="3" name="PivotTable3"/>
    <pivotTable tabId="3" name="PivotTable4"/>
  </pivotTables>
  <data>
    <tabular pivotCacheId="51815847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0B6ACC0-AA69-4F7E-B940-B309563A96F3}" cache="Slicer_Marital_Status" caption="Marital Status" rowHeight="234950"/>
  <slicer name="Education" xr10:uid="{91A3873C-585F-495D-9538-51476173D4E7}" cache="Slicer_Education" caption="Education" rowHeight="234950"/>
  <slicer name="Region" xr10:uid="{2A5BC4DA-AF47-4818-96BB-3DB6FBCC2076}"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42" workbookViewId="0">
      <selection activeCell="J25" sqref="J2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64C77-D9C7-4002-A48F-1FF555B89385}">
  <dimension ref="A1:N1001"/>
  <sheetViews>
    <sheetView topLeftCell="B900" workbookViewId="0">
      <selection activeCell="H917" sqref="H917"/>
    </sheetView>
  </sheetViews>
  <sheetFormatPr defaultRowHeight="14.4" x14ac:dyDescent="0.3"/>
  <cols>
    <col min="1" max="1" width="10.21875" customWidth="1"/>
    <col min="2" max="2" width="12.33203125" customWidth="1"/>
    <col min="3" max="3" width="8.88671875" customWidth="1"/>
    <col min="4" max="4" width="13.6640625" customWidth="1"/>
    <col min="6" max="6" width="14.88671875" customWidth="1"/>
    <col min="7" max="7" width="14.33203125" customWidth="1"/>
    <col min="10" max="10" width="17.88671875" customWidth="1"/>
    <col min="13" max="13" width="17.10937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IF(L2&gt;50,"OLD",IF(L2&gt;=31,"MIDDLE AGE",IF(L2&lt;31,"ADOLESENT","INVALID")))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IF(L3&gt;50,"OLD",IF(L3&gt;=31,"MIDDLE AGE",IF(L3&lt;31,"ADOLESENT","INVALID")))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OLD</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OLD</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OLD</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OLD</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IF(L67&gt;50,"OLD",IF(L67&gt;=31,"MIDDLE AGE",IF(L67&lt;31,"ADOLESENT","INVALID")))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OLD</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OLD</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OLD</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OLD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OLD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OLD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IF(L131&gt;50,"OLD",IF(L131&gt;=31,"MIDDLE AGE",IF(L131&lt;31,"ADOLESENT","INVALID")))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OLD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OLD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OLD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OLD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IF(L195&gt;50,"OLD",IF(L195&gt;=31,"MIDDLE AGE",IF(L195&lt;31,"ADOLESENT","INVALID")))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OLD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OLD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OLD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OLD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OLD</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IF(L259&gt;50,"OLD",IF(L259&gt;=31,"MIDDLE AGE",IF(L259&lt;31,"ADOLESENT","INVALID")))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OLD</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OLD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OLD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OLD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OLD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OLD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IF(L323&gt;50,"OLD",IF(L323&gt;=31,"MIDDLE AGE",IF(L323&lt;31,"ADOLESENT","INVALID")))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OLD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OLD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OLD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OLD</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OLD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OLD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IF(L387&gt;50,"OLD",IF(L387&gt;=31,"MIDDLE AGE",IF(L387&lt;31,"ADOLESENT","INVALID")))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OLD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OLD</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OLD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OLD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OLD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OLD</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OLD</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OLD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OLD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IF(L451&gt;50,"OLD",IF(L451&gt;=31,"MIDDLE AGE",IF(L451&lt;31,"ADOLESENT","INVALID")))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OLD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OLD</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OLD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IF(L515&gt;50,"OLD",IF(L515&gt;=31,"MIDDLE AGE",IF(L515&lt;31,"ADOLESENT","INVALID")))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OLD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OLD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OLD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OLD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OLD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IF(L579&gt;50,"OLD",IF(L579&gt;=31,"MIDDLE AGE",IF(L579&lt;31,"ADOLESENT","INVALID")))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OLD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OLD</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OLD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OLD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OLD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OLD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IF(L643&gt;50,"OLD",IF(L643&gt;=31,"MIDDLE AGE",IF(L643&lt;31,"ADOLESENT","INVALID")))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OLD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OLD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OLD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IF(L707&gt;50,"OLD",IF(L707&gt;=31,"MIDDLE AGE",IF(L707&lt;31,"ADOLESENT","INVALID")))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OLD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OLD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OLD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OLD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IF(L771&gt;50,"OLD",IF(L771&gt;=31,"MIDDLE AGE",IF(L771&lt;31,"ADOLESENT","INVALID")))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OLD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OLD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OLD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OLD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OLD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OLD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OLD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OLD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OLD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OLD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IF(L835&gt;50,"OLD",IF(L835&gt;=31,"MIDDLE AGE",IF(L835&lt;31,"ADOLESENT","INVALID")))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OLD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OLD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OLD</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OLD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OLD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OLD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IF(L899&gt;50,"OLD",IF(L899&gt;=31,"MIDDLE AGE",IF(L899&lt;31,"ADOLESENT","INVALID")))</f>
        <v>ADOLESENT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OLD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OLD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OLD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OLD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OLD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IF(L963&gt;50,"OLD",IF(L963&gt;=31,"MIDDLE AGE",IF(L963&lt;31,"ADOLESENT","INVALID")))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OLD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OLD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OLD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OLD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OLD</v>
      </c>
      <c r="N1001" t="s">
        <v>15</v>
      </c>
    </row>
  </sheetData>
  <autoFilter ref="A1:N1001" xr:uid="{E1264C77-D9C7-4002-A48F-1FF555B8938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1336-CA24-4211-8780-D199475B02A2}">
  <dimension ref="A1:E100"/>
  <sheetViews>
    <sheetView workbookViewId="0">
      <selection activeCell="G56" sqref="G56"/>
    </sheetView>
  </sheetViews>
  <sheetFormatPr defaultRowHeight="14.4" x14ac:dyDescent="0.3"/>
  <cols>
    <col min="1" max="1" width="17" bestFit="1" customWidth="1"/>
    <col min="2" max="2" width="21.88671875" bestFit="1" customWidth="1"/>
    <col min="3" max="3" width="15.5546875" bestFit="1" customWidth="1"/>
    <col min="4" max="4" width="4" bestFit="1" customWidth="1"/>
    <col min="5" max="5" width="10.77734375" bestFit="1" customWidth="1"/>
  </cols>
  <sheetData>
    <row r="1" spans="1:4" x14ac:dyDescent="0.3">
      <c r="A1" s="4" t="s">
        <v>41</v>
      </c>
      <c r="B1" s="4" t="s">
        <v>44</v>
      </c>
    </row>
    <row r="2" spans="1:4" x14ac:dyDescent="0.3">
      <c r="A2" s="4" t="s">
        <v>42</v>
      </c>
      <c r="B2" t="s">
        <v>18</v>
      </c>
      <c r="C2" t="s">
        <v>15</v>
      </c>
      <c r="D2" t="s">
        <v>43</v>
      </c>
    </row>
    <row r="3" spans="1:4" x14ac:dyDescent="0.3">
      <c r="A3" s="5" t="s">
        <v>38</v>
      </c>
      <c r="B3" s="6">
        <v>53440</v>
      </c>
      <c r="C3" s="6">
        <v>55774.058577405856</v>
      </c>
      <c r="D3" s="6">
        <v>54580.777096114522</v>
      </c>
    </row>
    <row r="4" spans="1:4" x14ac:dyDescent="0.3">
      <c r="A4" s="5" t="s">
        <v>39</v>
      </c>
      <c r="B4" s="6">
        <v>56208.178438661707</v>
      </c>
      <c r="C4" s="6">
        <v>60123.966942148763</v>
      </c>
      <c r="D4" s="6">
        <v>58062.62230919765</v>
      </c>
    </row>
    <row r="5" spans="1:4" x14ac:dyDescent="0.3">
      <c r="A5" s="5" t="s">
        <v>43</v>
      </c>
      <c r="B5" s="6">
        <v>54874.759152215796</v>
      </c>
      <c r="C5" s="6">
        <v>57962.577962577961</v>
      </c>
      <c r="D5" s="6">
        <v>56360</v>
      </c>
    </row>
    <row r="18" spans="2:5" x14ac:dyDescent="0.3">
      <c r="B18" s="4" t="s">
        <v>45</v>
      </c>
      <c r="C18" s="4" t="s">
        <v>44</v>
      </c>
    </row>
    <row r="19" spans="2:5" x14ac:dyDescent="0.3">
      <c r="B19" s="4" t="s">
        <v>42</v>
      </c>
      <c r="C19" t="s">
        <v>18</v>
      </c>
      <c r="D19" t="s">
        <v>15</v>
      </c>
      <c r="E19" t="s">
        <v>43</v>
      </c>
    </row>
    <row r="20" spans="2:5" x14ac:dyDescent="0.3">
      <c r="B20" s="5" t="s">
        <v>16</v>
      </c>
      <c r="C20" s="7">
        <v>166</v>
      </c>
      <c r="D20" s="7">
        <v>200</v>
      </c>
      <c r="E20" s="7">
        <v>366</v>
      </c>
    </row>
    <row r="21" spans="2:5" x14ac:dyDescent="0.3">
      <c r="B21" s="5" t="s">
        <v>26</v>
      </c>
      <c r="C21" s="7">
        <v>92</v>
      </c>
      <c r="D21" s="7">
        <v>77</v>
      </c>
      <c r="E21" s="7">
        <v>169</v>
      </c>
    </row>
    <row r="22" spans="2:5" x14ac:dyDescent="0.3">
      <c r="B22" s="5" t="s">
        <v>22</v>
      </c>
      <c r="C22" s="7">
        <v>67</v>
      </c>
      <c r="D22" s="7">
        <v>95</v>
      </c>
      <c r="E22" s="7">
        <v>162</v>
      </c>
    </row>
    <row r="23" spans="2:5" x14ac:dyDescent="0.3">
      <c r="B23" s="5" t="s">
        <v>23</v>
      </c>
      <c r="C23" s="7">
        <v>116</v>
      </c>
      <c r="D23" s="7">
        <v>76</v>
      </c>
      <c r="E23" s="7">
        <v>192</v>
      </c>
    </row>
    <row r="24" spans="2:5" x14ac:dyDescent="0.3">
      <c r="B24" s="5" t="s">
        <v>46</v>
      </c>
      <c r="C24" s="7">
        <v>78</v>
      </c>
      <c r="D24" s="7">
        <v>33</v>
      </c>
      <c r="E24" s="7">
        <v>111</v>
      </c>
    </row>
    <row r="25" spans="2:5" x14ac:dyDescent="0.3">
      <c r="B25" s="5" t="s">
        <v>43</v>
      </c>
      <c r="C25" s="7">
        <v>519</v>
      </c>
      <c r="D25" s="7">
        <v>481</v>
      </c>
      <c r="E25" s="7">
        <v>1000</v>
      </c>
    </row>
    <row r="30" spans="2:5" x14ac:dyDescent="0.3">
      <c r="B30" s="4" t="s">
        <v>45</v>
      </c>
      <c r="C30" s="4" t="s">
        <v>44</v>
      </c>
    </row>
    <row r="31" spans="2:5" x14ac:dyDescent="0.3">
      <c r="B31" s="4" t="s">
        <v>42</v>
      </c>
      <c r="C31" t="s">
        <v>18</v>
      </c>
      <c r="D31" t="s">
        <v>15</v>
      </c>
      <c r="E31" t="s">
        <v>43</v>
      </c>
    </row>
    <row r="32" spans="2:5" x14ac:dyDescent="0.3">
      <c r="B32" s="5" t="s">
        <v>47</v>
      </c>
      <c r="C32" s="7">
        <v>71</v>
      </c>
      <c r="D32" s="7">
        <v>39</v>
      </c>
      <c r="E32" s="7">
        <v>110</v>
      </c>
    </row>
    <row r="33" spans="2:5" x14ac:dyDescent="0.3">
      <c r="B33" s="5" t="s">
        <v>48</v>
      </c>
      <c r="C33" s="7">
        <v>282</v>
      </c>
      <c r="D33" s="7">
        <v>332</v>
      </c>
      <c r="E33" s="7">
        <v>614</v>
      </c>
    </row>
    <row r="34" spans="2:5" x14ac:dyDescent="0.3">
      <c r="B34" s="5" t="s">
        <v>49</v>
      </c>
      <c r="C34" s="7">
        <v>166</v>
      </c>
      <c r="D34" s="7">
        <v>110</v>
      </c>
      <c r="E34" s="7">
        <v>276</v>
      </c>
    </row>
    <row r="35" spans="2:5" x14ac:dyDescent="0.3">
      <c r="B35" s="5" t="s">
        <v>43</v>
      </c>
      <c r="C35" s="7">
        <v>519</v>
      </c>
      <c r="D35" s="7">
        <v>481</v>
      </c>
      <c r="E35" s="7">
        <v>1000</v>
      </c>
    </row>
    <row r="45" spans="2:5" x14ac:dyDescent="0.3">
      <c r="B45" s="4" t="s">
        <v>45</v>
      </c>
      <c r="C45" s="4" t="s">
        <v>44</v>
      </c>
    </row>
    <row r="46" spans="2:5" x14ac:dyDescent="0.3">
      <c r="B46" s="4" t="s">
        <v>42</v>
      </c>
      <c r="C46" t="s">
        <v>18</v>
      </c>
      <c r="D46" t="s">
        <v>15</v>
      </c>
      <c r="E46" t="s">
        <v>43</v>
      </c>
    </row>
    <row r="47" spans="2:5" x14ac:dyDescent="0.3">
      <c r="B47" s="5">
        <v>25</v>
      </c>
      <c r="C47" s="7">
        <v>2</v>
      </c>
      <c r="D47" s="7">
        <v>4</v>
      </c>
      <c r="E47" s="7">
        <v>6</v>
      </c>
    </row>
    <row r="48" spans="2:5" x14ac:dyDescent="0.3">
      <c r="B48" s="5">
        <v>26</v>
      </c>
      <c r="C48" s="7">
        <v>8</v>
      </c>
      <c r="D48" s="7">
        <v>8</v>
      </c>
      <c r="E48" s="7">
        <v>16</v>
      </c>
    </row>
    <row r="49" spans="2:5" x14ac:dyDescent="0.3">
      <c r="B49" s="5">
        <v>27</v>
      </c>
      <c r="C49" s="7">
        <v>15</v>
      </c>
      <c r="D49" s="7">
        <v>8</v>
      </c>
      <c r="E49" s="7">
        <v>23</v>
      </c>
    </row>
    <row r="50" spans="2:5" x14ac:dyDescent="0.3">
      <c r="B50" s="5">
        <v>28</v>
      </c>
      <c r="C50" s="7">
        <v>12</v>
      </c>
      <c r="D50" s="7">
        <v>10</v>
      </c>
      <c r="E50" s="7">
        <v>22</v>
      </c>
    </row>
    <row r="51" spans="2:5" x14ac:dyDescent="0.3">
      <c r="B51" s="5">
        <v>29</v>
      </c>
      <c r="C51" s="7">
        <v>11</v>
      </c>
      <c r="D51" s="7">
        <v>5</v>
      </c>
      <c r="E51" s="7">
        <v>16</v>
      </c>
    </row>
    <row r="52" spans="2:5" x14ac:dyDescent="0.3">
      <c r="B52" s="5">
        <v>30</v>
      </c>
      <c r="C52" s="7">
        <v>23</v>
      </c>
      <c r="D52" s="7">
        <v>4</v>
      </c>
      <c r="E52" s="7">
        <v>27</v>
      </c>
    </row>
    <row r="53" spans="2:5" x14ac:dyDescent="0.3">
      <c r="B53" s="5">
        <v>31</v>
      </c>
      <c r="C53" s="7">
        <v>17</v>
      </c>
      <c r="D53" s="7">
        <v>8</v>
      </c>
      <c r="E53" s="7">
        <v>25</v>
      </c>
    </row>
    <row r="54" spans="2:5" x14ac:dyDescent="0.3">
      <c r="B54" s="5">
        <v>32</v>
      </c>
      <c r="C54" s="7">
        <v>19</v>
      </c>
      <c r="D54" s="7">
        <v>14</v>
      </c>
      <c r="E54" s="7">
        <v>33</v>
      </c>
    </row>
    <row r="55" spans="2:5" x14ac:dyDescent="0.3">
      <c r="B55" s="5">
        <v>33</v>
      </c>
      <c r="C55" s="7">
        <v>8</v>
      </c>
      <c r="D55" s="7">
        <v>13</v>
      </c>
      <c r="E55" s="7">
        <v>21</v>
      </c>
    </row>
    <row r="56" spans="2:5" x14ac:dyDescent="0.3">
      <c r="B56" s="5">
        <v>34</v>
      </c>
      <c r="C56" s="7">
        <v>12</v>
      </c>
      <c r="D56" s="7">
        <v>19</v>
      </c>
      <c r="E56" s="7">
        <v>31</v>
      </c>
    </row>
    <row r="57" spans="2:5" x14ac:dyDescent="0.3">
      <c r="B57" s="5">
        <v>35</v>
      </c>
      <c r="C57" s="7">
        <v>14</v>
      </c>
      <c r="D57" s="7">
        <v>22</v>
      </c>
      <c r="E57" s="7">
        <v>36</v>
      </c>
    </row>
    <row r="58" spans="2:5" x14ac:dyDescent="0.3">
      <c r="B58" s="5">
        <v>36</v>
      </c>
      <c r="C58" s="7">
        <v>7</v>
      </c>
      <c r="D58" s="7">
        <v>30</v>
      </c>
      <c r="E58" s="7">
        <v>37</v>
      </c>
    </row>
    <row r="59" spans="2:5" x14ac:dyDescent="0.3">
      <c r="B59" s="5">
        <v>37</v>
      </c>
      <c r="C59" s="7">
        <v>4</v>
      </c>
      <c r="D59" s="7">
        <v>28</v>
      </c>
      <c r="E59" s="7">
        <v>32</v>
      </c>
    </row>
    <row r="60" spans="2:5" x14ac:dyDescent="0.3">
      <c r="B60" s="5">
        <v>38</v>
      </c>
      <c r="C60" s="7">
        <v>8</v>
      </c>
      <c r="D60" s="7">
        <v>29</v>
      </c>
      <c r="E60" s="7">
        <v>37</v>
      </c>
    </row>
    <row r="61" spans="2:5" x14ac:dyDescent="0.3">
      <c r="B61" s="5">
        <v>39</v>
      </c>
      <c r="C61" s="7">
        <v>10</v>
      </c>
      <c r="D61" s="7">
        <v>12</v>
      </c>
      <c r="E61" s="7">
        <v>22</v>
      </c>
    </row>
    <row r="62" spans="2:5" x14ac:dyDescent="0.3">
      <c r="B62" s="5">
        <v>40</v>
      </c>
      <c r="C62" s="7">
        <v>24</v>
      </c>
      <c r="D62" s="7">
        <v>18</v>
      </c>
      <c r="E62" s="7">
        <v>42</v>
      </c>
    </row>
    <row r="63" spans="2:5" x14ac:dyDescent="0.3">
      <c r="B63" s="5">
        <v>41</v>
      </c>
      <c r="C63" s="7">
        <v>13</v>
      </c>
      <c r="D63" s="7">
        <v>15</v>
      </c>
      <c r="E63" s="7">
        <v>28</v>
      </c>
    </row>
    <row r="64" spans="2:5" x14ac:dyDescent="0.3">
      <c r="B64" s="5">
        <v>42</v>
      </c>
      <c r="C64" s="7">
        <v>22</v>
      </c>
      <c r="D64" s="7">
        <v>12</v>
      </c>
      <c r="E64" s="7">
        <v>34</v>
      </c>
    </row>
    <row r="65" spans="2:5" x14ac:dyDescent="0.3">
      <c r="B65" s="5">
        <v>43</v>
      </c>
      <c r="C65" s="7">
        <v>17</v>
      </c>
      <c r="D65" s="7">
        <v>19</v>
      </c>
      <c r="E65" s="7">
        <v>36</v>
      </c>
    </row>
    <row r="66" spans="2:5" x14ac:dyDescent="0.3">
      <c r="B66" s="5">
        <v>44</v>
      </c>
      <c r="C66" s="7">
        <v>15</v>
      </c>
      <c r="D66" s="7">
        <v>12</v>
      </c>
      <c r="E66" s="7">
        <v>27</v>
      </c>
    </row>
    <row r="67" spans="2:5" x14ac:dyDescent="0.3">
      <c r="B67" s="5">
        <v>45</v>
      </c>
      <c r="C67" s="7">
        <v>18</v>
      </c>
      <c r="D67" s="7">
        <v>13</v>
      </c>
      <c r="E67" s="7">
        <v>31</v>
      </c>
    </row>
    <row r="68" spans="2:5" x14ac:dyDescent="0.3">
      <c r="B68" s="5">
        <v>46</v>
      </c>
      <c r="C68" s="7">
        <v>12</v>
      </c>
      <c r="D68" s="7">
        <v>15</v>
      </c>
      <c r="E68" s="7">
        <v>27</v>
      </c>
    </row>
    <row r="69" spans="2:5" x14ac:dyDescent="0.3">
      <c r="B69" s="5">
        <v>47</v>
      </c>
      <c r="C69" s="7">
        <v>19</v>
      </c>
      <c r="D69" s="7">
        <v>20</v>
      </c>
      <c r="E69" s="7">
        <v>39</v>
      </c>
    </row>
    <row r="70" spans="2:5" x14ac:dyDescent="0.3">
      <c r="B70" s="5">
        <v>48</v>
      </c>
      <c r="C70" s="7">
        <v>16</v>
      </c>
      <c r="D70" s="7">
        <v>13</v>
      </c>
      <c r="E70" s="7">
        <v>29</v>
      </c>
    </row>
    <row r="71" spans="2:5" x14ac:dyDescent="0.3">
      <c r="B71" s="5">
        <v>49</v>
      </c>
      <c r="C71" s="7">
        <v>15</v>
      </c>
      <c r="D71" s="7">
        <v>8</v>
      </c>
      <c r="E71" s="7">
        <v>23</v>
      </c>
    </row>
    <row r="72" spans="2:5" x14ac:dyDescent="0.3">
      <c r="B72" s="5">
        <v>50</v>
      </c>
      <c r="C72" s="7">
        <v>12</v>
      </c>
      <c r="D72" s="7">
        <v>12</v>
      </c>
      <c r="E72" s="7">
        <v>24</v>
      </c>
    </row>
    <row r="73" spans="2:5" x14ac:dyDescent="0.3">
      <c r="B73" s="5">
        <v>51</v>
      </c>
      <c r="C73" s="7">
        <v>10</v>
      </c>
      <c r="D73" s="7">
        <v>12</v>
      </c>
      <c r="E73" s="7">
        <v>22</v>
      </c>
    </row>
    <row r="74" spans="2:5" x14ac:dyDescent="0.3">
      <c r="B74" s="5">
        <v>52</v>
      </c>
      <c r="C74" s="7">
        <v>10</v>
      </c>
      <c r="D74" s="7">
        <v>15</v>
      </c>
      <c r="E74" s="7">
        <v>25</v>
      </c>
    </row>
    <row r="75" spans="2:5" x14ac:dyDescent="0.3">
      <c r="B75" s="5">
        <v>53</v>
      </c>
      <c r="C75" s="7">
        <v>11</v>
      </c>
      <c r="D75" s="7">
        <v>13</v>
      </c>
      <c r="E75" s="7">
        <v>24</v>
      </c>
    </row>
    <row r="76" spans="2:5" x14ac:dyDescent="0.3">
      <c r="B76" s="5">
        <v>54</v>
      </c>
      <c r="C76" s="7">
        <v>5</v>
      </c>
      <c r="D76" s="7">
        <v>11</v>
      </c>
      <c r="E76" s="7">
        <v>16</v>
      </c>
    </row>
    <row r="77" spans="2:5" x14ac:dyDescent="0.3">
      <c r="B77" s="5">
        <v>55</v>
      </c>
      <c r="C77" s="7">
        <v>13</v>
      </c>
      <c r="D77" s="7">
        <v>5</v>
      </c>
      <c r="E77" s="7">
        <v>18</v>
      </c>
    </row>
    <row r="78" spans="2:5" x14ac:dyDescent="0.3">
      <c r="B78" s="5">
        <v>56</v>
      </c>
      <c r="C78" s="7">
        <v>13</v>
      </c>
      <c r="D78" s="7">
        <v>3</v>
      </c>
      <c r="E78" s="7">
        <v>16</v>
      </c>
    </row>
    <row r="79" spans="2:5" x14ac:dyDescent="0.3">
      <c r="B79" s="5">
        <v>57</v>
      </c>
      <c r="C79" s="7">
        <v>4</v>
      </c>
      <c r="D79" s="7">
        <v>4</v>
      </c>
      <c r="E79" s="7">
        <v>8</v>
      </c>
    </row>
    <row r="80" spans="2:5" x14ac:dyDescent="0.3">
      <c r="B80" s="5">
        <v>58</v>
      </c>
      <c r="C80" s="7">
        <v>8</v>
      </c>
      <c r="D80" s="7">
        <v>4</v>
      </c>
      <c r="E80" s="7">
        <v>12</v>
      </c>
    </row>
    <row r="81" spans="2:5" x14ac:dyDescent="0.3">
      <c r="B81" s="5">
        <v>59</v>
      </c>
      <c r="C81" s="7">
        <v>14</v>
      </c>
      <c r="D81" s="7">
        <v>6</v>
      </c>
      <c r="E81" s="7">
        <v>20</v>
      </c>
    </row>
    <row r="82" spans="2:5" x14ac:dyDescent="0.3">
      <c r="B82" s="5">
        <v>60</v>
      </c>
      <c r="C82" s="7">
        <v>8</v>
      </c>
      <c r="D82" s="7">
        <v>7</v>
      </c>
      <c r="E82" s="7">
        <v>15</v>
      </c>
    </row>
    <row r="83" spans="2:5" x14ac:dyDescent="0.3">
      <c r="B83" s="5">
        <v>61</v>
      </c>
      <c r="C83" s="7">
        <v>5</v>
      </c>
      <c r="D83" s="7">
        <v>4</v>
      </c>
      <c r="E83" s="7">
        <v>9</v>
      </c>
    </row>
    <row r="84" spans="2:5" x14ac:dyDescent="0.3">
      <c r="B84" s="5">
        <v>62</v>
      </c>
      <c r="C84" s="7">
        <v>9</v>
      </c>
      <c r="D84" s="7">
        <v>4</v>
      </c>
      <c r="E84" s="7">
        <v>13</v>
      </c>
    </row>
    <row r="85" spans="2:5" x14ac:dyDescent="0.3">
      <c r="B85" s="5">
        <v>63</v>
      </c>
      <c r="C85" s="7">
        <v>7</v>
      </c>
      <c r="D85" s="7">
        <v>2</v>
      </c>
      <c r="E85" s="7">
        <v>9</v>
      </c>
    </row>
    <row r="86" spans="2:5" x14ac:dyDescent="0.3">
      <c r="B86" s="5">
        <v>64</v>
      </c>
      <c r="C86" s="7">
        <v>7</v>
      </c>
      <c r="D86" s="7">
        <v>3</v>
      </c>
      <c r="E86" s="7">
        <v>10</v>
      </c>
    </row>
    <row r="87" spans="2:5" x14ac:dyDescent="0.3">
      <c r="B87" s="5">
        <v>65</v>
      </c>
      <c r="C87" s="7">
        <v>6</v>
      </c>
      <c r="D87" s="7">
        <v>3</v>
      </c>
      <c r="E87" s="7">
        <v>9</v>
      </c>
    </row>
    <row r="88" spans="2:5" x14ac:dyDescent="0.3">
      <c r="B88" s="5">
        <v>66</v>
      </c>
      <c r="C88" s="7">
        <v>8</v>
      </c>
      <c r="D88" s="7">
        <v>6</v>
      </c>
      <c r="E88" s="7">
        <v>14</v>
      </c>
    </row>
    <row r="89" spans="2:5" x14ac:dyDescent="0.3">
      <c r="B89" s="5">
        <v>67</v>
      </c>
      <c r="C89" s="7">
        <v>8</v>
      </c>
      <c r="D89" s="7">
        <v>2</v>
      </c>
      <c r="E89" s="7">
        <v>10</v>
      </c>
    </row>
    <row r="90" spans="2:5" x14ac:dyDescent="0.3">
      <c r="B90" s="5">
        <v>68</v>
      </c>
      <c r="C90" s="7">
        <v>3</v>
      </c>
      <c r="D90" s="7"/>
      <c r="E90" s="7">
        <v>3</v>
      </c>
    </row>
    <row r="91" spans="2:5" x14ac:dyDescent="0.3">
      <c r="B91" s="5">
        <v>69</v>
      </c>
      <c r="C91" s="7">
        <v>8</v>
      </c>
      <c r="D91" s="7"/>
      <c r="E91" s="7">
        <v>8</v>
      </c>
    </row>
    <row r="92" spans="2:5" x14ac:dyDescent="0.3">
      <c r="B92" s="5">
        <v>70</v>
      </c>
      <c r="C92" s="7">
        <v>3</v>
      </c>
      <c r="D92" s="7">
        <v>1</v>
      </c>
      <c r="E92" s="7">
        <v>4</v>
      </c>
    </row>
    <row r="93" spans="2:5" x14ac:dyDescent="0.3">
      <c r="B93" s="5">
        <v>71</v>
      </c>
      <c r="C93" s="7">
        <v>1</v>
      </c>
      <c r="D93" s="7"/>
      <c r="E93" s="7">
        <v>1</v>
      </c>
    </row>
    <row r="94" spans="2:5" x14ac:dyDescent="0.3">
      <c r="B94" s="5">
        <v>72</v>
      </c>
      <c r="C94" s="7"/>
      <c r="D94" s="7">
        <v>1</v>
      </c>
      <c r="E94" s="7">
        <v>1</v>
      </c>
    </row>
    <row r="95" spans="2:5" x14ac:dyDescent="0.3">
      <c r="B95" s="5">
        <v>73</v>
      </c>
      <c r="C95" s="7">
        <v>2</v>
      </c>
      <c r="D95" s="7">
        <v>2</v>
      </c>
      <c r="E95" s="7">
        <v>4</v>
      </c>
    </row>
    <row r="96" spans="2:5" x14ac:dyDescent="0.3">
      <c r="B96" s="5">
        <v>74</v>
      </c>
      <c r="C96" s="7"/>
      <c r="D96" s="7">
        <v>1</v>
      </c>
      <c r="E96" s="7">
        <v>1</v>
      </c>
    </row>
    <row r="97" spans="2:5" x14ac:dyDescent="0.3">
      <c r="B97" s="5">
        <v>78</v>
      </c>
      <c r="C97" s="7">
        <v>1</v>
      </c>
      <c r="D97" s="7">
        <v>1</v>
      </c>
      <c r="E97" s="7">
        <v>2</v>
      </c>
    </row>
    <row r="98" spans="2:5" x14ac:dyDescent="0.3">
      <c r="B98" s="5">
        <v>80</v>
      </c>
      <c r="C98" s="7">
        <v>1</v>
      </c>
      <c r="D98" s="7"/>
      <c r="E98" s="7">
        <v>1</v>
      </c>
    </row>
    <row r="99" spans="2:5" x14ac:dyDescent="0.3">
      <c r="B99" s="5">
        <v>89</v>
      </c>
      <c r="C99" s="7">
        <v>1</v>
      </c>
      <c r="D99" s="7"/>
      <c r="E99" s="7">
        <v>1</v>
      </c>
    </row>
    <row r="100" spans="2:5" x14ac:dyDescent="0.3">
      <c r="B100" s="5" t="s">
        <v>43</v>
      </c>
      <c r="C100" s="7">
        <v>519</v>
      </c>
      <c r="D100" s="7">
        <v>481</v>
      </c>
      <c r="E100"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22F98-924A-4327-A037-DD4ECBE325BA}">
  <dimension ref="D1:O2"/>
  <sheetViews>
    <sheetView showGridLines="0" tabSelected="1" zoomScale="91" workbookViewId="0">
      <selection activeCell="V20" sqref="V20"/>
    </sheetView>
  </sheetViews>
  <sheetFormatPr defaultRowHeight="14.4" x14ac:dyDescent="0.3"/>
  <sheetData>
    <row r="1" spans="4:15" x14ac:dyDescent="0.3">
      <c r="D1" s="8"/>
      <c r="E1" s="8"/>
      <c r="F1" s="8"/>
      <c r="G1" s="8"/>
      <c r="H1" s="9"/>
      <c r="I1" s="8"/>
      <c r="J1" s="8"/>
      <c r="K1" s="8"/>
      <c r="L1" s="8"/>
      <c r="M1" s="8"/>
      <c r="N1" s="8"/>
      <c r="O1" s="8"/>
    </row>
    <row r="2" spans="4:15" ht="31.2" x14ac:dyDescent="0.6">
      <c r="D2" s="8"/>
      <c r="E2" s="8"/>
      <c r="F2" s="8"/>
      <c r="G2" s="8"/>
      <c r="H2" s="10" t="s">
        <v>50</v>
      </c>
      <c r="I2" s="10"/>
      <c r="J2" s="10"/>
      <c r="K2" s="10"/>
      <c r="L2" s="10"/>
      <c r="M2" s="8"/>
      <c r="N2" s="8"/>
      <c r="O2" s="8"/>
    </row>
  </sheetData>
  <mergeCells count="1">
    <mergeCell ref="H2:L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Darla</dc:creator>
  <cp:lastModifiedBy>Neha Darla</cp:lastModifiedBy>
  <dcterms:created xsi:type="dcterms:W3CDTF">2022-03-18T02:50:57Z</dcterms:created>
  <dcterms:modified xsi:type="dcterms:W3CDTF">2026-06-09T13:34:47Z</dcterms:modified>
</cp:coreProperties>
</file>